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JITHA\Documents\DA\"/>
    </mc:Choice>
  </mc:AlternateContent>
  <xr:revisionPtr revIDLastSave="0" documentId="13_ncr:1_{EE804EA5-C840-45F2-A0C5-FDAF5025674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structions" sheetId="1" r:id="rId1"/>
    <sheet name="Dataset" sheetId="2" r:id="rId2"/>
    <sheet name="Answer 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M13" i="3"/>
  <c r="M12" i="3"/>
  <c r="M9" i="3"/>
  <c r="M8" i="3"/>
  <c r="M4" i="3"/>
  <c r="M5" i="3"/>
  <c r="M3" i="3"/>
</calcChain>
</file>

<file path=xl/sharedStrings.xml><?xml version="1.0" encoding="utf-8"?>
<sst xmlns="http://schemas.openxmlformats.org/spreadsheetml/2006/main" count="317" uniqueCount="126">
  <si>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</si>
  <si>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</si>
  <si>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</si>
  <si>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</si>
  <si>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</si>
  <si>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</si>
  <si>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</si>
  <si>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</si>
  <si>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</si>
  <si>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</si>
  <si>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</si>
  <si>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</si>
  <si>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</si>
  <si>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</si>
  <si>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</si>
  <si>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</si>
  <si>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</si>
  <si>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</si>
  <si>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</si>
  <si>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</si>
  <si>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</si>
  <si>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</si>
  <si>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</si>
  <si>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</si>
  <si>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</si>
  <si>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</si>
  <si>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</si>
  <si>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</si>
  <si>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</si>
  <si>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</si>
  <si>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</si>
  <si>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</si>
  <si>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</si>
  <si>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</si>
  <si>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</si>
  <si>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</si>
  <si>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</si>
  <si>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</si>
  <si>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</si>
  <si>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</si>
  <si>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</si>
  <si>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</si>
  <si>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</si>
  <si>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</si>
  <si>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</si>
  <si>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</si>
  <si>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</si>
  <si>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</si>
  <si>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</si>
  <si>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</si>
  <si>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</si>
  <si>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</si>
  <si>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</si>
  <si>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</si>
  <si>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</si>
  <si>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</si>
  <si>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</si>
  <si>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</si>
  <si>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</si>
  <si>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</si>
  <si>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</si>
  <si>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</si>
  <si>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</si>
  <si>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</si>
  <si>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</si>
  <si>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</si>
  <si>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</si>
  <si>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</si>
  <si>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</si>
  <si>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</si>
  <si>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</si>
  <si>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</si>
  <si>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</si>
  <si>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</si>
  <si>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</si>
  <si>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</si>
  <si>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</si>
  <si>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</si>
  <si>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</si>
  <si>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</si>
  <si>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</si>
  <si>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</si>
  <si>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</si>
  <si>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</si>
  <si>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</si>
  <si>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</si>
  <si>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</si>
  <si>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</si>
  <si>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</si>
  <si>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</si>
  <si>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</si>
  <si>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</si>
  <si>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</si>
  <si>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</si>
  <si>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</si>
  <si>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</si>
  <si>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</si>
  <si>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</si>
  <si>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</si>
  <si>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</si>
  <si>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</si>
  <si>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</si>
  <si>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</si>
  <si>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</si>
  <si>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</si>
  <si>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</si>
  <si>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</si>
  <si>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</si>
  <si>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</si>
  <si>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</si>
  <si>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</si>
  <si>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Answer</t>
  </si>
  <si>
    <t>1) Sum, Count, Average</t>
  </si>
  <si>
    <t>Total price of all products</t>
  </si>
  <si>
    <t>Average price</t>
  </si>
  <si>
    <t>Number of Products</t>
  </si>
  <si>
    <t>2) Min and Max</t>
  </si>
  <si>
    <t>Minimum price</t>
  </si>
  <si>
    <t>Maximum price</t>
  </si>
  <si>
    <t>4) SUMIF and COUNTIF</t>
  </si>
  <si>
    <t>Total price of products in electronoic category</t>
  </si>
  <si>
    <t>Products with price less than $100</t>
  </si>
  <si>
    <t>Price Range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</si>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</sst>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6" borderId="0" xfId="0" applyFont="1" applyFill="1"/>
    <xf numFmtId="0" fontId="13" fillId="6" borderId="0" xfId="0" applyFont="1" applyFill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2F29F6-5B66-4464-A916-834FF10FBC51}" name="Table4" displayName="Table4" ref="A1:J35" totalsRowShown="0" headerRowDxfId="1" dataDxfId="0">
  <autoFilter ref="A1:J35" xr:uid="{2C2F29F6-5B66-4464-A916-834FF10FBC51}"/>
  <tableColumns count="10">
    <tableColumn id="1" xr3:uid="{A3C03CB4-4951-4BB8-B260-209DCEDE84E5}" name="Product ID" dataDxfId="11"/>
    <tableColumn id="2" xr3:uid="{9A360BF2-AB90-46C3-B942-16DE07EDDC10}" name="Product Name" dataDxfId="10"/>
    <tableColumn id="3" xr3:uid="{4138CD90-0776-4FE7-B817-D7E8B385389C}" name="Brand Name" dataDxfId="9"/>
    <tableColumn id="4" xr3:uid="{9F95A6C5-42D9-4C61-A3D5-6F6AB08E526A}" name="Price ($)" dataDxfId="8"/>
    <tableColumn id="5" xr3:uid="{67AE2A5F-13B8-427F-A1BD-579D09B426E2}" name="Quantity" dataDxfId="7"/>
    <tableColumn id="6" xr3:uid="{8914DC0F-BDFD-4647-BCAE-421B98C3888E}" name="Category" dataDxfId="6"/>
    <tableColumn id="7" xr3:uid="{87C4BE70-3AD6-4D10-8101-37718D2AE415}" name="Price Range" dataDxfId="5">
      <calculatedColumnFormula>IF(D2&gt;=500,"High Price","Standard Price")</calculatedColumnFormula>
    </tableColumn>
    <tableColumn id="8" xr3:uid="{E3F2804E-D296-4F60-B3AF-4B3F8511629A}" name="Day" dataDxfId="4">
      <calculatedColumnFormula>LEFT(A2,"2")</calculatedColumnFormula>
    </tableColumn>
    <tableColumn id="9" xr3:uid="{707597A9-769A-45C1-8C3A-B841EA1F20A5}" name="Country" dataDxfId="3">
      <calculatedColumnFormula>RIGHT(A2,"2")</calculatedColumnFormula>
    </tableColumn>
    <tableColumn id="10" xr3:uid="{E0A71F5D-AAC3-4E40-A3E7-D512CABF93F7}" name="Month" dataDxfId="2">
      <calculatedColumnFormula>MID(A2,"4","3")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H5" sqref="H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11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14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11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5" workbookViewId="0">
      <selection activeCell="E47" sqref="E47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6C92-B947-4B86-BE9F-FCB0A40D9B69}">
  <dimension ref="A1:M35"/>
  <sheetViews>
    <sheetView tabSelected="1" workbookViewId="0">
      <selection activeCell="L26" sqref="L26"/>
    </sheetView>
  </sheetViews>
  <sheetFormatPr defaultRowHeight="12.5" x14ac:dyDescent="0.25"/>
  <cols>
    <col min="1" max="1" width="15.1796875" customWidth="1"/>
    <col min="2" max="2" width="17.54296875" customWidth="1"/>
    <col min="3" max="3" width="13" customWidth="1"/>
    <col min="4" max="5" width="9.54296875" customWidth="1"/>
    <col min="6" max="6" width="10.7265625" customWidth="1"/>
    <col min="7" max="7" width="12.7265625" customWidth="1"/>
    <col min="9" max="9" width="9" customWidth="1"/>
    <col min="12" max="12" width="37.54296875" customWidth="1"/>
    <col min="13" max="13" width="15.26953125" customWidth="1"/>
  </cols>
  <sheetData>
    <row r="1" spans="1:13" ht="13" x14ac:dyDescent="0.3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122</v>
      </c>
      <c r="H1" s="15" t="s">
        <v>123</v>
      </c>
      <c r="I1" s="15" t="s">
        <v>124</v>
      </c>
      <c r="J1" s="15" t="s">
        <v>125</v>
      </c>
      <c r="L1" s="10" t="s">
        <v>110</v>
      </c>
      <c r="M1" s="10" t="s">
        <v>111</v>
      </c>
    </row>
    <row r="2" spans="1:13" ht="13" x14ac:dyDescent="0.3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15" t="str">
        <f>IF(D2&gt;=500,"High Price","Standard Price")</f>
        <v>High Price</v>
      </c>
      <c r="H2" s="15" t="str">
        <f>LEFT(A2,"2")</f>
        <v>28</v>
      </c>
      <c r="I2" s="15" t="str">
        <f>RIGHT(A2,"2")</f>
        <v>US</v>
      </c>
      <c r="J2" s="15" t="str">
        <f>MID(A2,"4","3")</f>
        <v>JAN</v>
      </c>
      <c r="L2" s="16" t="s">
        <v>112</v>
      </c>
      <c r="M2" s="13"/>
    </row>
    <row r="3" spans="1:13" ht="13" x14ac:dyDescent="0.3">
      <c r="A3" s="15" t="s">
        <v>27</v>
      </c>
      <c r="B3" s="15" t="s">
        <v>28</v>
      </c>
      <c r="C3" s="15" t="s">
        <v>29</v>
      </c>
      <c r="D3" s="15">
        <v>80</v>
      </c>
      <c r="E3" s="15">
        <v>15</v>
      </c>
      <c r="F3" s="15" t="s">
        <v>30</v>
      </c>
      <c r="G3" s="15" t="str">
        <f t="shared" ref="G3:G35" si="0">IF(D3&gt;=500,"High Price","Standard Price")</f>
        <v>Standard Price</v>
      </c>
      <c r="H3" s="15" t="str">
        <f t="shared" ref="H3:H35" si="1">LEFT(A3,"2")</f>
        <v>15</v>
      </c>
      <c r="I3" s="15" t="str">
        <f t="shared" ref="I3:I35" si="2">RIGHT(A3,"2")</f>
        <v>US</v>
      </c>
      <c r="J3" s="15" t="str">
        <f t="shared" ref="J3:J35" si="3">MID(A3,"4","3")</f>
        <v>FEB</v>
      </c>
      <c r="L3" s="12" t="s">
        <v>113</v>
      </c>
      <c r="M3">
        <f>SUM(D2:D35)</f>
        <v>10100</v>
      </c>
    </row>
    <row r="4" spans="1:13" ht="13" x14ac:dyDescent="0.3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15" t="str">
        <f t="shared" si="0"/>
        <v>Standard Price</v>
      </c>
      <c r="H4" s="15" t="str">
        <f t="shared" si="1"/>
        <v>03</v>
      </c>
      <c r="I4" s="15" t="str">
        <f t="shared" si="2"/>
        <v>US</v>
      </c>
      <c r="J4" s="15" t="str">
        <f t="shared" si="3"/>
        <v>MAR</v>
      </c>
      <c r="L4" s="12" t="s">
        <v>115</v>
      </c>
      <c r="M4">
        <f>COUNTA(A2:A35)</f>
        <v>34</v>
      </c>
    </row>
    <row r="5" spans="1:13" ht="13" x14ac:dyDescent="0.3">
      <c r="A5" s="15" t="s">
        <v>35</v>
      </c>
      <c r="B5" s="15" t="s">
        <v>36</v>
      </c>
      <c r="C5" s="15" t="s">
        <v>37</v>
      </c>
      <c r="D5" s="15">
        <v>900</v>
      </c>
      <c r="E5" s="15">
        <v>25</v>
      </c>
      <c r="F5" s="15" t="s">
        <v>26</v>
      </c>
      <c r="G5" s="15" t="str">
        <f t="shared" si="0"/>
        <v>High Price</v>
      </c>
      <c r="H5" s="15" t="str">
        <f t="shared" si="1"/>
        <v>11</v>
      </c>
      <c r="I5" s="15" t="str">
        <f t="shared" si="2"/>
        <v>US</v>
      </c>
      <c r="J5" s="15" t="str">
        <f t="shared" si="3"/>
        <v>APR</v>
      </c>
      <c r="L5" s="12" t="s">
        <v>114</v>
      </c>
      <c r="M5">
        <f>AVERAGE(D2:D35)</f>
        <v>297.05882352941177</v>
      </c>
    </row>
    <row r="6" spans="1:13" ht="13" x14ac:dyDescent="0.3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15" t="str">
        <f t="shared" si="0"/>
        <v>Standard Price</v>
      </c>
      <c r="H6" s="15" t="str">
        <f t="shared" si="1"/>
        <v>22</v>
      </c>
      <c r="I6" s="15" t="str">
        <f t="shared" si="2"/>
        <v>US</v>
      </c>
      <c r="J6" s="15" t="str">
        <f t="shared" si="3"/>
        <v>MAY</v>
      </c>
    </row>
    <row r="7" spans="1:13" ht="13" x14ac:dyDescent="0.3">
      <c r="A7" s="15" t="s">
        <v>42</v>
      </c>
      <c r="B7" s="15" t="s">
        <v>43</v>
      </c>
      <c r="C7" s="15" t="s">
        <v>44</v>
      </c>
      <c r="D7" s="15">
        <v>200</v>
      </c>
      <c r="E7" s="15">
        <v>45</v>
      </c>
      <c r="F7" s="15" t="s">
        <v>26</v>
      </c>
      <c r="G7" s="15" t="str">
        <f t="shared" si="0"/>
        <v>Standard Price</v>
      </c>
      <c r="H7" s="15" t="str">
        <f t="shared" si="1"/>
        <v>07</v>
      </c>
      <c r="I7" s="15" t="str">
        <f t="shared" si="2"/>
        <v>UK</v>
      </c>
      <c r="J7" s="15" t="str">
        <f t="shared" si="3"/>
        <v>JUN</v>
      </c>
      <c r="L7" s="16" t="s">
        <v>116</v>
      </c>
    </row>
    <row r="8" spans="1:13" ht="13" x14ac:dyDescent="0.3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15" t="str">
        <f t="shared" si="0"/>
        <v>Standard Price</v>
      </c>
      <c r="H8" s="15" t="str">
        <f t="shared" si="1"/>
        <v>19</v>
      </c>
      <c r="I8" s="15" t="str">
        <f t="shared" si="2"/>
        <v>UK</v>
      </c>
      <c r="J8" s="15" t="str">
        <f t="shared" si="3"/>
        <v>JUL</v>
      </c>
      <c r="L8" s="12" t="s">
        <v>117</v>
      </c>
      <c r="M8">
        <f>MIN(D2:D35)</f>
        <v>30</v>
      </c>
    </row>
    <row r="9" spans="1:13" ht="13" x14ac:dyDescent="0.3">
      <c r="A9" s="15" t="s">
        <v>48</v>
      </c>
      <c r="B9" s="15" t="s">
        <v>49</v>
      </c>
      <c r="C9" s="15" t="s">
        <v>50</v>
      </c>
      <c r="D9" s="15">
        <v>90</v>
      </c>
      <c r="E9" s="15">
        <v>35</v>
      </c>
      <c r="F9" s="15" t="s">
        <v>34</v>
      </c>
      <c r="G9" s="15" t="str">
        <f t="shared" si="0"/>
        <v>Standard Price</v>
      </c>
      <c r="H9" s="15" t="str">
        <f t="shared" si="1"/>
        <v>23</v>
      </c>
      <c r="I9" s="15" t="str">
        <f t="shared" si="2"/>
        <v>UK</v>
      </c>
      <c r="J9" s="15" t="str">
        <f t="shared" si="3"/>
        <v>AUG</v>
      </c>
      <c r="L9" s="12" t="s">
        <v>118</v>
      </c>
      <c r="M9">
        <f>MAX(D2:D35)</f>
        <v>1000</v>
      </c>
    </row>
    <row r="10" spans="1:13" ht="13" x14ac:dyDescent="0.3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15" t="str">
        <f t="shared" si="0"/>
        <v>High Price</v>
      </c>
      <c r="H10" s="15" t="str">
        <f t="shared" si="1"/>
        <v>05</v>
      </c>
      <c r="I10" s="15" t="str">
        <f t="shared" si="2"/>
        <v>UK</v>
      </c>
      <c r="J10" s="15" t="str">
        <f t="shared" si="3"/>
        <v>SEP</v>
      </c>
    </row>
    <row r="11" spans="1:13" ht="13" x14ac:dyDescent="0.3">
      <c r="A11" s="15" t="s">
        <v>54</v>
      </c>
      <c r="B11" s="15" t="s">
        <v>55</v>
      </c>
      <c r="C11" s="15" t="s">
        <v>56</v>
      </c>
      <c r="D11" s="15">
        <v>130</v>
      </c>
      <c r="E11" s="15">
        <v>10</v>
      </c>
      <c r="F11" s="15" t="s">
        <v>41</v>
      </c>
      <c r="G11" s="15" t="str">
        <f t="shared" si="0"/>
        <v>Standard Price</v>
      </c>
      <c r="H11" s="15" t="str">
        <f t="shared" si="1"/>
        <v>14</v>
      </c>
      <c r="I11" s="15" t="str">
        <f t="shared" si="2"/>
        <v>UK</v>
      </c>
      <c r="J11" s="15" t="str">
        <f t="shared" si="3"/>
        <v>OCT</v>
      </c>
      <c r="L11" s="17" t="s">
        <v>119</v>
      </c>
    </row>
    <row r="12" spans="1:13" ht="13" x14ac:dyDescent="0.3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15" t="str">
        <f t="shared" si="0"/>
        <v>High Price</v>
      </c>
      <c r="H12" s="15" t="str">
        <f t="shared" si="1"/>
        <v>17</v>
      </c>
      <c r="I12" s="15" t="str">
        <f t="shared" si="2"/>
        <v>IN</v>
      </c>
      <c r="J12" s="15" t="str">
        <f t="shared" si="3"/>
        <v>JUN</v>
      </c>
      <c r="L12" s="12" t="s">
        <v>120</v>
      </c>
      <c r="M12">
        <f>SUMIF(F2:F35,"electronics",D2:D35)</f>
        <v>8050</v>
      </c>
    </row>
    <row r="13" spans="1:13" ht="13" x14ac:dyDescent="0.3">
      <c r="A13" s="15" t="s">
        <v>59</v>
      </c>
      <c r="B13" s="15" t="s">
        <v>28</v>
      </c>
      <c r="C13" s="15" t="s">
        <v>47</v>
      </c>
      <c r="D13" s="15">
        <v>90</v>
      </c>
      <c r="E13" s="15">
        <v>40</v>
      </c>
      <c r="F13" s="15" t="s">
        <v>30</v>
      </c>
      <c r="G13" s="15" t="str">
        <f t="shared" si="0"/>
        <v>Standard Price</v>
      </c>
      <c r="H13" s="15" t="str">
        <f t="shared" si="1"/>
        <v>25</v>
      </c>
      <c r="I13" s="15" t="str">
        <f t="shared" si="2"/>
        <v>AU</v>
      </c>
      <c r="J13" s="15" t="str">
        <f t="shared" si="3"/>
        <v>NOV</v>
      </c>
      <c r="L13" s="12" t="s">
        <v>121</v>
      </c>
      <c r="M13">
        <f>COUNTIF(D2:D35,"&lt;100")</f>
        <v>11</v>
      </c>
    </row>
    <row r="14" spans="1:13" ht="13" x14ac:dyDescent="0.3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15" t="str">
        <f t="shared" si="0"/>
        <v>Standard Price</v>
      </c>
      <c r="H14" s="15" t="str">
        <f t="shared" si="1"/>
        <v>08</v>
      </c>
      <c r="I14" s="15" t="str">
        <f t="shared" si="2"/>
        <v>DE</v>
      </c>
      <c r="J14" s="15" t="str">
        <f t="shared" si="3"/>
        <v>DEC</v>
      </c>
    </row>
    <row r="15" spans="1:13" ht="13" x14ac:dyDescent="0.3">
      <c r="A15" s="15" t="s">
        <v>62</v>
      </c>
      <c r="B15" s="15" t="s">
        <v>63</v>
      </c>
      <c r="C15" s="15" t="s">
        <v>64</v>
      </c>
      <c r="D15" s="15">
        <v>150</v>
      </c>
      <c r="E15" s="15">
        <v>15</v>
      </c>
      <c r="F15" s="15" t="s">
        <v>26</v>
      </c>
      <c r="G15" s="15" t="str">
        <f t="shared" si="0"/>
        <v>Standard Price</v>
      </c>
      <c r="H15" s="15" t="str">
        <f t="shared" si="1"/>
        <v>18</v>
      </c>
      <c r="I15" s="15" t="str">
        <f t="shared" si="2"/>
        <v>CA</v>
      </c>
      <c r="J15" s="15" t="str">
        <f t="shared" si="3"/>
        <v>FEB</v>
      </c>
    </row>
    <row r="16" spans="1:13" ht="13" x14ac:dyDescent="0.3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15" t="str">
        <f t="shared" si="0"/>
        <v>Standard Price</v>
      </c>
      <c r="H16" s="15" t="str">
        <f t="shared" si="1"/>
        <v>16</v>
      </c>
      <c r="I16" s="15" t="str">
        <f t="shared" si="2"/>
        <v>ES</v>
      </c>
      <c r="J16" s="15" t="str">
        <f t="shared" si="3"/>
        <v>APR</v>
      </c>
    </row>
    <row r="17" spans="1:10" ht="13" x14ac:dyDescent="0.3">
      <c r="A17" s="15" t="s">
        <v>67</v>
      </c>
      <c r="B17" s="15" t="s">
        <v>68</v>
      </c>
      <c r="C17" s="15" t="s">
        <v>69</v>
      </c>
      <c r="D17" s="15">
        <v>50</v>
      </c>
      <c r="E17" s="15">
        <v>35</v>
      </c>
      <c r="F17" s="15" t="s">
        <v>70</v>
      </c>
      <c r="G17" s="15" t="str">
        <f t="shared" si="0"/>
        <v>Standard Price</v>
      </c>
      <c r="H17" s="15" t="str">
        <f t="shared" si="1"/>
        <v>21</v>
      </c>
      <c r="I17" s="15" t="str">
        <f t="shared" si="2"/>
        <v>CA</v>
      </c>
      <c r="J17" s="15" t="str">
        <f t="shared" si="3"/>
        <v>AUG</v>
      </c>
    </row>
    <row r="18" spans="1:10" ht="13" x14ac:dyDescent="0.3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15" t="str">
        <f t="shared" si="0"/>
        <v>Standard Price</v>
      </c>
      <c r="H18" s="15" t="str">
        <f t="shared" si="1"/>
        <v>20</v>
      </c>
      <c r="I18" s="15" t="str">
        <f t="shared" si="2"/>
        <v>CN</v>
      </c>
      <c r="J18" s="15" t="str">
        <f t="shared" si="3"/>
        <v>AUG</v>
      </c>
    </row>
    <row r="19" spans="1:10" ht="13" x14ac:dyDescent="0.3">
      <c r="A19" s="15" t="s">
        <v>73</v>
      </c>
      <c r="B19" s="15" t="s">
        <v>24</v>
      </c>
      <c r="C19" s="15" t="s">
        <v>74</v>
      </c>
      <c r="D19" s="15">
        <v>980</v>
      </c>
      <c r="E19" s="15">
        <v>10</v>
      </c>
      <c r="F19" s="15" t="s">
        <v>26</v>
      </c>
      <c r="G19" s="15" t="str">
        <f t="shared" si="0"/>
        <v>High Price</v>
      </c>
      <c r="H19" s="15" t="str">
        <f t="shared" si="1"/>
        <v>27</v>
      </c>
      <c r="I19" s="15" t="str">
        <f t="shared" si="2"/>
        <v>IT</v>
      </c>
      <c r="J19" s="15" t="str">
        <f t="shared" si="3"/>
        <v>JAN</v>
      </c>
    </row>
    <row r="20" spans="1:10" ht="13" x14ac:dyDescent="0.3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15" t="str">
        <f t="shared" si="0"/>
        <v>Standard Price</v>
      </c>
      <c r="H20" s="15" t="str">
        <f t="shared" si="1"/>
        <v>01</v>
      </c>
      <c r="I20" s="15" t="str">
        <f t="shared" si="2"/>
        <v>UK</v>
      </c>
      <c r="J20" s="15" t="str">
        <f t="shared" si="3"/>
        <v>MAR</v>
      </c>
    </row>
    <row r="21" spans="1:10" ht="13" x14ac:dyDescent="0.3">
      <c r="A21" s="15" t="s">
        <v>78</v>
      </c>
      <c r="B21" s="15" t="s">
        <v>79</v>
      </c>
      <c r="C21" s="15" t="s">
        <v>80</v>
      </c>
      <c r="D21" s="15">
        <v>200</v>
      </c>
      <c r="E21" s="15">
        <v>10</v>
      </c>
      <c r="F21" s="15" t="s">
        <v>41</v>
      </c>
      <c r="G21" s="15" t="str">
        <f t="shared" si="0"/>
        <v>Standard Price</v>
      </c>
      <c r="H21" s="15" t="str">
        <f t="shared" si="1"/>
        <v>14</v>
      </c>
      <c r="I21" s="15" t="str">
        <f t="shared" si="2"/>
        <v>US</v>
      </c>
      <c r="J21" s="15" t="str">
        <f t="shared" si="3"/>
        <v>AUG</v>
      </c>
    </row>
    <row r="22" spans="1:10" ht="13" x14ac:dyDescent="0.3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15" t="str">
        <f t="shared" si="0"/>
        <v>High Price</v>
      </c>
      <c r="H22" s="15" t="str">
        <f t="shared" si="1"/>
        <v>14</v>
      </c>
      <c r="I22" s="15" t="str">
        <f t="shared" si="2"/>
        <v>RU</v>
      </c>
      <c r="J22" s="15" t="str">
        <f t="shared" si="3"/>
        <v>MAY</v>
      </c>
    </row>
    <row r="23" spans="1:10" ht="13" x14ac:dyDescent="0.3">
      <c r="A23" s="15" t="s">
        <v>84</v>
      </c>
      <c r="B23" s="15" t="s">
        <v>85</v>
      </c>
      <c r="C23" s="15" t="s">
        <v>86</v>
      </c>
      <c r="D23" s="15">
        <v>80</v>
      </c>
      <c r="E23" s="15">
        <v>20</v>
      </c>
      <c r="F23" s="15" t="s">
        <v>34</v>
      </c>
      <c r="G23" s="15" t="str">
        <f t="shared" si="0"/>
        <v>Standard Price</v>
      </c>
      <c r="H23" s="15" t="str">
        <f t="shared" si="1"/>
        <v>09</v>
      </c>
      <c r="I23" s="15" t="str">
        <f t="shared" si="2"/>
        <v>CA</v>
      </c>
      <c r="J23" s="15" t="str">
        <f t="shared" si="3"/>
        <v>JAN</v>
      </c>
    </row>
    <row r="24" spans="1:10" ht="13" x14ac:dyDescent="0.3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15" t="str">
        <f t="shared" si="0"/>
        <v>Standard Price</v>
      </c>
      <c r="H24" s="15" t="str">
        <f t="shared" si="1"/>
        <v>19</v>
      </c>
      <c r="I24" s="15" t="str">
        <f t="shared" si="2"/>
        <v>BR</v>
      </c>
      <c r="J24" s="15" t="str">
        <f t="shared" si="3"/>
        <v>JUL</v>
      </c>
    </row>
    <row r="25" spans="1:10" ht="13" x14ac:dyDescent="0.3">
      <c r="A25" s="15" t="s">
        <v>67</v>
      </c>
      <c r="B25" s="15" t="s">
        <v>68</v>
      </c>
      <c r="C25" s="15" t="s">
        <v>69</v>
      </c>
      <c r="D25" s="15">
        <v>50</v>
      </c>
      <c r="E25" s="15">
        <v>35</v>
      </c>
      <c r="F25" s="15" t="s">
        <v>70</v>
      </c>
      <c r="G25" s="15" t="str">
        <f t="shared" si="0"/>
        <v>Standard Price</v>
      </c>
      <c r="H25" s="15" t="str">
        <f t="shared" si="1"/>
        <v>21</v>
      </c>
      <c r="I25" s="15" t="str">
        <f t="shared" si="2"/>
        <v>CA</v>
      </c>
      <c r="J25" s="15" t="str">
        <f t="shared" si="3"/>
        <v>AUG</v>
      </c>
    </row>
    <row r="26" spans="1:10" ht="13" x14ac:dyDescent="0.3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15" t="str">
        <f t="shared" si="0"/>
        <v>High Price</v>
      </c>
      <c r="H26" s="15" t="str">
        <f t="shared" si="1"/>
        <v>29</v>
      </c>
      <c r="I26" s="15" t="str">
        <f t="shared" si="2"/>
        <v>CA</v>
      </c>
      <c r="J26" s="15" t="str">
        <f t="shared" si="3"/>
        <v>SEP</v>
      </c>
    </row>
    <row r="27" spans="1:10" ht="13" x14ac:dyDescent="0.3">
      <c r="A27" s="15" t="s">
        <v>92</v>
      </c>
      <c r="B27" s="15" t="s">
        <v>76</v>
      </c>
      <c r="C27" s="15" t="s">
        <v>93</v>
      </c>
      <c r="D27" s="15">
        <v>130</v>
      </c>
      <c r="E27" s="15">
        <v>25</v>
      </c>
      <c r="F27" s="15" t="s">
        <v>30</v>
      </c>
      <c r="G27" s="15" t="str">
        <f t="shared" si="0"/>
        <v>Standard Price</v>
      </c>
      <c r="H27" s="15" t="str">
        <f t="shared" si="1"/>
        <v>03</v>
      </c>
      <c r="I27" s="15" t="str">
        <f t="shared" si="2"/>
        <v>CA</v>
      </c>
      <c r="J27" s="15" t="str">
        <f t="shared" si="3"/>
        <v>JUN</v>
      </c>
    </row>
    <row r="28" spans="1:10" ht="13" x14ac:dyDescent="0.3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15" t="str">
        <f t="shared" si="0"/>
        <v>Standard Price</v>
      </c>
      <c r="H28" s="15" t="str">
        <f t="shared" si="1"/>
        <v>11</v>
      </c>
      <c r="I28" s="15" t="str">
        <f t="shared" si="2"/>
        <v>CA</v>
      </c>
      <c r="J28" s="15" t="str">
        <f t="shared" si="3"/>
        <v>JUL</v>
      </c>
    </row>
    <row r="29" spans="1:10" ht="13" x14ac:dyDescent="0.3">
      <c r="A29" s="15" t="s">
        <v>65</v>
      </c>
      <c r="B29" s="15" t="s">
        <v>43</v>
      </c>
      <c r="C29" s="15" t="s">
        <v>66</v>
      </c>
      <c r="D29" s="15">
        <v>230</v>
      </c>
      <c r="E29" s="15">
        <v>20</v>
      </c>
      <c r="F29" s="15" t="s">
        <v>26</v>
      </c>
      <c r="G29" s="15" t="str">
        <f t="shared" si="0"/>
        <v>Standard Price</v>
      </c>
      <c r="H29" s="15" t="str">
        <f t="shared" si="1"/>
        <v>16</v>
      </c>
      <c r="I29" s="15" t="str">
        <f t="shared" si="2"/>
        <v>ES</v>
      </c>
      <c r="J29" s="15" t="str">
        <f t="shared" si="3"/>
        <v>APR</v>
      </c>
    </row>
    <row r="30" spans="1:10" ht="13" x14ac:dyDescent="0.3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15" t="str">
        <f t="shared" si="0"/>
        <v>Standard Price</v>
      </c>
      <c r="H30" s="15" t="str">
        <f t="shared" si="1"/>
        <v>07</v>
      </c>
      <c r="I30" s="15" t="str">
        <f t="shared" si="2"/>
        <v>CA</v>
      </c>
      <c r="J30" s="15" t="str">
        <f t="shared" si="3"/>
        <v>MAR</v>
      </c>
    </row>
    <row r="31" spans="1:10" ht="13" x14ac:dyDescent="0.3">
      <c r="A31" s="15" t="s">
        <v>99</v>
      </c>
      <c r="B31" s="15" t="s">
        <v>100</v>
      </c>
      <c r="C31" s="15" t="s">
        <v>101</v>
      </c>
      <c r="D31" s="15">
        <v>40</v>
      </c>
      <c r="E31" s="15">
        <v>10</v>
      </c>
      <c r="F31" s="15" t="s">
        <v>34</v>
      </c>
      <c r="G31" s="15" t="str">
        <f t="shared" si="0"/>
        <v>Standard Price</v>
      </c>
      <c r="H31" s="15" t="str">
        <f t="shared" si="1"/>
        <v>13</v>
      </c>
      <c r="I31" s="15" t="str">
        <f t="shared" si="2"/>
        <v>CA</v>
      </c>
      <c r="J31" s="15" t="str">
        <f t="shared" si="3"/>
        <v>APR</v>
      </c>
    </row>
    <row r="32" spans="1:10" ht="13" x14ac:dyDescent="0.3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15" t="str">
        <f t="shared" si="0"/>
        <v>Standard Price</v>
      </c>
      <c r="H32" s="15" t="str">
        <f t="shared" si="1"/>
        <v>24</v>
      </c>
      <c r="I32" s="15" t="str">
        <f t="shared" si="2"/>
        <v>CA</v>
      </c>
      <c r="J32" s="15" t="str">
        <f t="shared" si="3"/>
        <v>MAY</v>
      </c>
    </row>
    <row r="33" spans="1:10" ht="13" x14ac:dyDescent="0.3">
      <c r="A33" s="15" t="s">
        <v>104</v>
      </c>
      <c r="B33" s="15" t="s">
        <v>105</v>
      </c>
      <c r="C33" s="15" t="s">
        <v>106</v>
      </c>
      <c r="D33" s="15">
        <v>50</v>
      </c>
      <c r="E33" s="15">
        <v>50</v>
      </c>
      <c r="F33" s="15" t="s">
        <v>30</v>
      </c>
      <c r="G33" s="15" t="str">
        <f t="shared" si="0"/>
        <v>Standard Price</v>
      </c>
      <c r="H33" s="15" t="str">
        <f t="shared" si="1"/>
        <v>02</v>
      </c>
      <c r="I33" s="15" t="str">
        <f t="shared" si="2"/>
        <v>CA</v>
      </c>
      <c r="J33" s="15" t="str">
        <f t="shared" si="3"/>
        <v>DEC</v>
      </c>
    </row>
    <row r="34" spans="1:10" ht="13" x14ac:dyDescent="0.3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15" t="str">
        <f t="shared" si="0"/>
        <v>High Price</v>
      </c>
      <c r="H34" s="15" t="str">
        <f t="shared" si="1"/>
        <v>17</v>
      </c>
      <c r="I34" s="15" t="str">
        <f t="shared" si="2"/>
        <v>IN</v>
      </c>
      <c r="J34" s="15" t="str">
        <f t="shared" si="3"/>
        <v>JUN</v>
      </c>
    </row>
    <row r="35" spans="1:10" ht="13" x14ac:dyDescent="0.3">
      <c r="A35" s="15" t="s">
        <v>107</v>
      </c>
      <c r="B35" s="15" t="s">
        <v>108</v>
      </c>
      <c r="C35" s="15" t="s">
        <v>109</v>
      </c>
      <c r="D35" s="15">
        <v>100</v>
      </c>
      <c r="E35" s="15">
        <v>20</v>
      </c>
      <c r="F35" s="15" t="s">
        <v>70</v>
      </c>
      <c r="G35" s="15" t="str">
        <f t="shared" si="0"/>
        <v>Standard Price</v>
      </c>
      <c r="H35" s="15" t="str">
        <f t="shared" si="1"/>
        <v>09</v>
      </c>
      <c r="I35" s="15" t="str">
        <f t="shared" si="2"/>
        <v>FR</v>
      </c>
      <c r="J35" s="15" t="str">
        <f t="shared" si="3"/>
        <v>JUL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Vijitha P</cp:lastModifiedBy>
  <dcterms:modified xsi:type="dcterms:W3CDTF">2026-10-14T13:10:02Z</dcterms:modified>
</cp:coreProperties>
</file>